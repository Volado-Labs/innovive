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Dashboard" sheetId="2" r:id="rId6"/>
  </sheets>
  <definedNames/>
  <calcPr/>
</workbook>
</file>

<file path=xl/sharedStrings.xml><?xml version="1.0" encoding="utf-8"?>
<sst xmlns="http://schemas.openxmlformats.org/spreadsheetml/2006/main" count="279" uniqueCount="157">
  <si>
    <t xml:space="preserve">Page URL tested </t>
  </si>
  <si>
    <t>Date In</t>
  </si>
  <si>
    <t>Updated Page Content / Layout</t>
  </si>
  <si>
    <t>Page / Section</t>
  </si>
  <si>
    <t>Issues</t>
  </si>
  <si>
    <t>Status</t>
  </si>
  <si>
    <t>Type</t>
  </si>
  <si>
    <t>Dev Notes/Resolution</t>
  </si>
  <si>
    <t>GLOBAL CHANGES</t>
  </si>
  <si>
    <t>Use original Innovive logo (on current website), Top Nav: Change "Services" to "Inno+ Vivarium Solutions", Remove "Talk to an Expert" , Add in "Order Products" (this will link to NetSuite - only those with a netsuite account can log in). PLEASE DO NOT put "trusted by" testimonials on every page.  Only home page and Inno+</t>
  </si>
  <si>
    <t>Resolved</t>
  </si>
  <si>
    <t>https://inno.myvoladolabs.com/</t>
  </si>
  <si>
    <t>Homepage</t>
  </si>
  <si>
    <t>Image: Choose different Image (work Victoria) to show more of our racks.  the focus on this image is the changing station in background. Should be on racks in vivarium. Change the darker color to a  dark navy, not black.</t>
  </si>
  <si>
    <t>Open</t>
  </si>
  <si>
    <t>Critical</t>
  </si>
  <si>
    <t xml:space="preserve">Remove the "Global precliical research" tag above the main header. Change main header to:  "Research Ready from Day One" Subhead: Your leader in technology solutions and services for the modern vivarium".   </t>
  </si>
  <si>
    <t>"Explore Solutions" can take you to the products page. What do you think?</t>
  </si>
  <si>
    <t xml:space="preserve">More homepage feedback:  One Partner. header below the Hero should be changed to: One Partner for Your Pre-Clinical Research Needs:  Paragraph below that - "Innovive helps research teams move faster with wash-free IVC products, expert vivarium services, and the industry’s only closed-loop recycling program".   FOR THE  THREE SECTIONS UNDER THAT: Where did the images go? Please add them back in.   </t>
  </si>
  <si>
    <t>Where did the Globe graphic go?  Who is making these changes? Please add graphic back in.  Change copy: Our commitment to excellence in research expands globally.</t>
  </si>
  <si>
    <t xml:space="preserve">UPDATE FEEDBACK ON HOMEPAGE:  1. Change photo back to the one with multiple racks in vivarium but with new treatment (darken blue towards left side of image where headers are).  2. Fix navigation as discussed in today's call. 3. Get rid of tag "what we do". 4. Fix Globe image (it should really be a fade in background of this section not a squared off image) 5. Add in testimonials from current site 6. Where news releases are (add in some blog articles too). </t>
  </si>
  <si>
    <r>
      <rPr>
        <rFont val="Arial"/>
        <color theme="1"/>
      </rPr>
      <t xml:space="preserve">6/11: Navigation rebuilt per call — top nav: Products (Mouse/Rat/Mouse&amp;Rat dropdowns, Gnotobiotics under Mouse), The Innovive System (Research Ready lives here), Inno+ Vivarium Solutions, Company, Customer Portal (NetSuite). Contact = single CTA button. Homepage: section tags removed. GLOBE DONE — replaced the squared-off image with a new graphic: earth-horizon with international network arcs, applied as a true section background that fades into the page (per your feedback). Still in progress: homepage hero photo (awaiting your image pick w/ Victoria), testimonials (awaiting logos/quotes), news/blog content.  </t>
    </r>
    <r>
      <rPr>
        <rFont val="Arial"/>
        <color rgb="FFFF0000"/>
      </rPr>
      <t xml:space="preserve">RG Comment re Globe Graphic:  Earlier today, this globe looked great, it was a faded image with international network arcs. Something changed, please fix back. The current one is not a true section background with fade. </t>
    </r>
  </si>
  <si>
    <t>https://inno.myvoladolabs.com/team/</t>
  </si>
  <si>
    <t>Team</t>
  </si>
  <si>
    <t>This page header show read:  Innovive's Leadership
Meet the team driving innovation and supporting research worldwide</t>
  </si>
  <si>
    <t>https://inno.myvoladolabs.com/gnotobiotics/</t>
  </si>
  <si>
    <t>Gnotobiotics</t>
  </si>
  <si>
    <t xml:space="preserve">Key Benefts section needs to include image of MVX3 lid. Change header:  Gnotobiotics and the Innovive IVC System. Victoria Zimmerman What else can we say here?  This sounds very generic and a bit outdated:  "As microbiome research grows, maintaining gnotobiotic rodents in a germ-free setting is crucial. Traditionally, isolators have been the standard, but emerging studies support the use of IVC caging, especially disposable IVC caging, for effective germ-free maintenance".  QUESTION: ARE WE PLACING THE "Trusted by..." and quotes on each page?  I think it should only be on home page and on Inno+ pages if we don't have multiple quotes
This is another example of a secondary page. It shoudl have a distinc look (the hero design treatment looks identical to home page) </t>
  </si>
  <si>
    <t>In review</t>
  </si>
  <si>
    <t>Polish</t>
  </si>
  <si>
    <t xml:space="preserve">
Suggest using image of a cage with MVX3 lid above the fold. </t>
  </si>
  <si>
    <t>https://inno.myvoladolabs.com/products/enrichment/</t>
  </si>
  <si>
    <t>Enrichment</t>
  </si>
  <si>
    <t>Page not found</t>
  </si>
  <si>
    <t>Mouse and rat enrichment is combined to one link named "Enrichment". Please follow the updated link in A14.</t>
  </si>
  <si>
    <t>https://inno.myvoladolabs.com/m-climb/</t>
  </si>
  <si>
    <t>Mouse</t>
  </si>
  <si>
    <t>How will user navigate from this page? Victoria ZimmermanI thought we were combining enrichment onto one page?
Suggest adding crumbs to indicate location on website and system Mouse or Rat.</t>
  </si>
  <si>
    <t>Question</t>
  </si>
  <si>
    <r>
      <rPr>
        <rFont val="Arial, Helvetica, sans-serif"/>
        <color rgb="FF1155CC"/>
        <u/>
      </rPr>
      <t>https://inno.myvoladolabs.com/</t>
    </r>
    <r>
      <rPr>
        <rFont val="Arial, Helvetica, sans-serif"/>
        <color rgb="FF222222"/>
      </rPr>
      <t>m-divider2/</t>
    </r>
  </si>
  <si>
    <t>How will user navigate from this page? 
Suggest adding crumbs to indicate location on website and system Mouse or Rat.</t>
  </si>
  <si>
    <r>
      <rPr>
        <rFont val="Arial, Helvetica, sans-serif"/>
        <color rgb="FF1155CC"/>
        <u/>
      </rPr>
      <t>https://inno.myvoladolabs.com/</t>
    </r>
    <r>
      <rPr>
        <rFont val="Arial, Helvetica, sans-serif"/>
        <color rgb="FF222222"/>
        <u/>
      </rPr>
      <t xml:space="preserve">innodome-innowheel/
</t>
    </r>
  </si>
  <si>
    <t>"How will user navigate from this page? 
Suggest adding crumbs to indicate location on website and system Mouse or Rat."</t>
  </si>
  <si>
    <r>
      <rPr>
        <rFont val="Arial, Helvetica, sans-serif"/>
        <color rgb="FF1155CC"/>
        <u/>
      </rPr>
      <t>https://inno.myvoladolabs.com/</t>
    </r>
    <r>
      <rPr>
        <rFont val="Arial, Helvetica, sans-serif"/>
        <color rgb="FF222222"/>
      </rPr>
      <t>innotube/</t>
    </r>
  </si>
  <si>
    <r>
      <rPr>
        <rFont val="Arial, Helvetica, sans-serif"/>
        <color rgb="FF1155CC"/>
        <u/>
      </rPr>
      <t>https://inno.myvoladolabs.com/</t>
    </r>
    <r>
      <rPr>
        <rFont val="Arial, Helvetica, sans-serif"/>
        <color rgb="FF222222"/>
        <u/>
      </rPr>
      <t xml:space="preserve">m-innorichment/
</t>
    </r>
  </si>
  <si>
    <t>https://inno.myvoladolabs.com/products/enrichment/crd-hld-h-3/</t>
  </si>
  <si>
    <t>https://inno.myvoladolabs.com/rat-feeders/</t>
  </si>
  <si>
    <t>https://docs.google.com/document/d/1EkvmTs_gp1Dm12e0u8mZ_zFHgTnygBAdP0WhgbsC4ks/edit?usp=sharing</t>
  </si>
  <si>
    <t>Rat</t>
  </si>
  <si>
    <t xml:space="preserve">Information, tall rat wirebar are missing. See the provided google doc  </t>
  </si>
  <si>
    <t>R-WIRE-TD can be found under "Tall" tab.</t>
  </si>
  <si>
    <t>https://inno.myvoladolabs.com/r-innorichment/</t>
  </si>
  <si>
    <t>How will user navigate from this page?</t>
  </si>
  <si>
    <r>
      <rPr>
        <rFont val="Arial, Helvetica, sans-serif"/>
        <color rgb="FF1155CC"/>
        <u/>
      </rPr>
      <t>https://inno.myvoladolabs.com/</t>
    </r>
    <r>
      <rPr>
        <rFont val="Arial, Helvetica, sans-serif"/>
        <color rgb="FF222222"/>
      </rPr>
      <t>r-loft-t/</t>
    </r>
  </si>
  <si>
    <t>https://inno.myvoladolabs.com/rat-lid/</t>
  </si>
  <si>
    <t>https://docs.google.com/document/d/1vae5Bcoh2ZSLM63TLlPnGB-32LzEG139DRzKHkJuuKM/edit?usp=sharing</t>
  </si>
  <si>
    <t xml:space="preserve">Information, comparison table are missing. See the provided google doc </t>
  </si>
  <si>
    <t>Comparison table can be found in the attached link.</t>
  </si>
  <si>
    <t>https://inno.myvoladolabs.com/inno/</t>
  </si>
  <si>
    <t>Inno+</t>
  </si>
  <si>
    <t>This looks like an AI generated page.  Please use the copy from the existing Inno+ page on our current website.  Please spell "customised" as english version "customized"  What are the tags on the photo?  This page needs a lot of work. Things are oddly positioned. We also need a secondary page (need 2 Inno+ pages) per previous discussion. The proof points doing work here (that's for product).   Need to emphasize flexibility, scalability of staffing and expert animal care 365 days a year.  Let's discuss.  I would rather use the current page with some modification (but moved to Wordpress) if this is too hard to figure out.</t>
  </si>
  <si>
    <t>Content copied exactly from the wix site. Design updated according to the given feedback.</t>
  </si>
  <si>
    <t>https://inno.myvoladolabs.com/tall-rat-01/</t>
  </si>
  <si>
    <t>https://docs.google.com/document/d/1mxV3mzm05w9KmFZvythpBvHCyVij0Pt6sAzgdUQejBA/edit?usp=sharing</t>
  </si>
  <si>
    <r>
      <rPr/>
      <t xml:space="preserve">See notes </t>
    </r>
    <r>
      <rPr>
        <color rgb="FF1155CC"/>
        <u/>
      </rPr>
      <t>here</t>
    </r>
    <r>
      <rPr/>
      <t xml:space="preserve">. 
Compatible caging section should include Tall Rat Caging image and description from this page: </t>
    </r>
    <r>
      <rPr>
        <color rgb="FF1155CC"/>
        <u/>
      </rPr>
      <t>https://www.innovive.com/rat-caging.</t>
    </r>
    <r>
      <rPr/>
      <t xml:space="preserve"> The "view caging" link should point to </t>
    </r>
    <r>
      <rPr>
        <color rgb="FF1155CC"/>
        <u/>
      </rPr>
      <t>https://www.innovive.com/tall-rat-caging-btm</t>
    </r>
  </si>
  <si>
    <t>Minor</t>
  </si>
  <si>
    <t>https://inno.myvoladolabs.com/mouse-lid/</t>
  </si>
  <si>
    <t>https://docs.google.com/document/d/1P6yXrRiUOyPqsL99JCo0tKYbxTyvoX3_IjcwYyxsl0Y/edit?usp=sharing</t>
  </si>
  <si>
    <r>
      <rPr/>
      <t xml:space="preserve">See google doc for comparion table and copy
</t>
    </r>
    <r>
      <rPr>
        <color rgb="FF1155CC"/>
        <u/>
      </rPr>
      <t xml:space="preserve">https://app.screencast.com/b1yOPK0qjyVy6
</t>
    </r>
    <r>
      <rPr/>
      <t xml:space="preserve">URL should be /mouse-lids
MVX12 isn't lauched yet. Robin Gaffney Ok to keep w/ "Coming soon" in the table?
Keep tab listing too? </t>
    </r>
  </si>
  <si>
    <r>
      <rPr/>
      <t xml:space="preserve">Table updated with the updated content in the doc. URL is: </t>
    </r>
    <r>
      <rPr>
        <color rgb="FF1155CC"/>
        <u/>
      </rPr>
      <t>https://inno.myvoladolabs.com/mouse-lids/</t>
    </r>
  </si>
  <si>
    <t>https://inno.myvoladolabs.com/mouse-rack/#</t>
  </si>
  <si>
    <t>https://docs.google.com/document/d/1O06TD-GwpBPFafXKGNZSp4x9_HM3yaPYJ0zykEpPmXM/edit?usp=sharing</t>
  </si>
  <si>
    <r>
      <rPr/>
      <t xml:space="preserve">URL should be /innorack-mouse
</t>
    </r>
    <r>
      <rPr>
        <color rgb="FF1155CC"/>
        <u/>
      </rPr>
      <t>https://app.screencast.com/MvqLQ2veMmJ0q</t>
    </r>
  </si>
  <si>
    <r>
      <rPr/>
      <t xml:space="preserve">Updated Link: </t>
    </r>
    <r>
      <rPr>
        <color rgb="FF1155CC"/>
        <u/>
      </rPr>
      <t>https://inno.myvoladolabs.com/innorack-mouse/</t>
    </r>
  </si>
  <si>
    <t>https://inno.myvoladolabs.com/aquavive-mouse-water/</t>
  </si>
  <si>
    <r>
      <rPr/>
      <t xml:space="preserve">Header language is missing. See </t>
    </r>
    <r>
      <rPr>
        <color rgb="FF1155CC"/>
        <u/>
      </rPr>
      <t xml:space="preserve">https://www.innovive.com/aquavive-mouse-water
</t>
    </r>
    <r>
      <rPr/>
      <t>Required cage components need to be mouse, not rat. Bottom should be first, then lid, feeder, water.</t>
    </r>
  </si>
  <si>
    <t>Header language updated. Cage components updated as well.</t>
  </si>
  <si>
    <t>https://inno.myvoladolabs.com/aquavive-rat-water/</t>
  </si>
  <si>
    <r>
      <rPr/>
      <t xml:space="preserve">Header language is missing. See </t>
    </r>
    <r>
      <rPr>
        <color rgb="FF1155CC"/>
        <u/>
      </rPr>
      <t>https://www.innovive.com/aquavive-rat-water</t>
    </r>
    <r>
      <rPr/>
      <t xml:space="preserve">
Required cage components need to be mouse, not rat. Bottom should be first, then lid, feeder, water.
Remove "More Components Like this" Needs to be "Required Cage Components"</t>
    </r>
  </si>
  <si>
    <t>https://inno.myvoladolabs.com/innorack-mouse/</t>
  </si>
  <si>
    <r>
      <rPr/>
      <t xml:space="preserve">Layout is broken </t>
    </r>
    <r>
      <rPr>
        <color rgb="FF1155CC"/>
        <u/>
      </rPr>
      <t>https://app.screencast.com/YyUkDlfm4WHmJ</t>
    </r>
  </si>
  <si>
    <t>It might be the cache issue at that time. Seems fine now.</t>
  </si>
  <si>
    <t>https://inno.myvoladolabs.com/products/</t>
  </si>
  <si>
    <t>Products Category</t>
  </si>
  <si>
    <r>
      <rPr>
        <rFont val="Arial"/>
        <color theme="1"/>
      </rPr>
      <t xml:space="preserve">Not sure this page is necesary. Visitors should enter Mouse and Rat Products from main navigarion. Robin Gaffney ?
</t>
    </r>
    <r>
      <rPr>
        <rFont val="Arial"/>
        <b/>
        <color rgb="FF880E4F"/>
      </rPr>
      <t xml:space="preserve">6/16
</t>
    </r>
    <r>
      <rPr>
        <rFont val="Arial"/>
        <color theme="1"/>
      </rPr>
      <t>This page is not necessary</t>
    </r>
  </si>
  <si>
    <t>https://inno.myvoladolabs.com/about/</t>
  </si>
  <si>
    <t>About Us</t>
  </si>
  <si>
    <t>https://inno.myvoladolabs.com/contact/</t>
  </si>
  <si>
    <t>Contact Us</t>
  </si>
  <si>
    <t>https://inno.myvoladolabs.com/research-ready/</t>
  </si>
  <si>
    <t>Research Ready</t>
  </si>
  <si>
    <r>
      <rPr/>
      <t xml:space="preserve">https://app.screencast.com/XfwDcD0TJPjqD
Use "Research-Ready" on all references. 
Use </t>
    </r>
    <r>
      <rPr>
        <color rgb="FF1155CC"/>
        <u/>
      </rPr>
      <t>this image</t>
    </r>
    <r>
      <rPr/>
      <t xml:space="preserve"> for "Irradiated" section
use </t>
    </r>
    <r>
      <rPr>
        <color rgb="FF1155CC"/>
        <u/>
      </rPr>
      <t>this image</t>
    </r>
    <r>
      <rPr/>
      <t xml:space="preserve"> for the double-bagged section</t>
    </r>
  </si>
  <si>
    <t>You might have to hard-refresh. It might fix. Page seems fine even in incognito mode.</t>
  </si>
  <si>
    <t>https://inno.myvoladolabs.com/privacy-policy/</t>
  </si>
  <si>
    <t>Privacy Policy</t>
  </si>
  <si>
    <t>https://inno.myvoladolabs.com/terms-and-conditions/</t>
  </si>
  <si>
    <t>Terms</t>
  </si>
  <si>
    <t>https://inno.myvoladolabs.com/ca-supply-chain/</t>
  </si>
  <si>
    <t>Legal</t>
  </si>
  <si>
    <t>https://inno.myvoladolabs.com/mouse-feeders/</t>
  </si>
  <si>
    <r>
      <rPr>
        <color rgb="FF1155CC"/>
        <u/>
      </rPr>
      <t>https://app.screencast.com/KJxWTfapFMoIc</t>
    </r>
    <r>
      <rPr>
        <color rgb="FF1F1F1F"/>
      </rPr>
      <t xml:space="preserve">
Image needs to be seamless with the background
https://app.screencast.com/Whyd4GnUN3CSv
Adjust the space
Required cage components should be mouse. Adjust acorss the site. Rat should reflect rat cage components, and mouse should be mouse. </t>
    </r>
  </si>
  <si>
    <t>Fixed. Components now have the relevant products. Image border removed.</t>
  </si>
  <si>
    <t>https://inno.myvoladolabs.com/tall-rat-xl/</t>
  </si>
  <si>
    <r>
      <rPr/>
      <t xml:space="preserve">Innorack Tall IVC Rat XL Features section font is off. 
</t>
    </r>
    <r>
      <rPr>
        <color rgb="FF1155CC"/>
        <u/>
      </rPr>
      <t>https://app.screencast.com/5wkIMgqHW9Dz8</t>
    </r>
    <r>
      <rPr/>
      <t xml:space="preserve"> - adjust
</t>
    </r>
    <r>
      <rPr>
        <color rgb="FF1155CC"/>
        <u/>
      </rPr>
      <t>https://app.screencast.com/s4yB0OSnSG4xm</t>
    </r>
    <r>
      <rPr/>
      <t xml:space="preserve">
</t>
    </r>
  </si>
  <si>
    <t>Fixed. Table row style fixed and tax updated as well.</t>
  </si>
  <si>
    <t>https://inno.myvoladolabs.com/rat-caging/</t>
  </si>
  <si>
    <r>
      <rPr>
        <sz val="10.0"/>
      </rPr>
      <t xml:space="preserve">Visually inconsistent with other pages
https://app.screencast.com/2JF6D31xydZHU
</t>
    </r>
    <r>
      <rPr>
        <b/>
        <color rgb="FF880E4F"/>
        <sz val="10.0"/>
      </rPr>
      <t>06/16</t>
    </r>
    <r>
      <rPr>
        <sz val="10.0"/>
      </rPr>
      <t xml:space="preserve">
1. Rat Caging tab: add button to point to </t>
    </r>
    <r>
      <rPr>
        <color rgb="FF1155CC"/>
        <sz val="10.0"/>
        <u/>
      </rPr>
      <t>https://www.innovive.com/rat-caging-btm</t>
    </r>
    <r>
      <rPr>
        <sz val="10.0"/>
      </rPr>
      <t xml:space="preserve"> 
2. Tall Rat Caging tab: add button to point to </t>
    </r>
    <r>
      <rPr>
        <color rgb="FF1155CC"/>
        <sz val="10.0"/>
        <u/>
      </rPr>
      <t>https://www.innovive.com/tall-rat-caging-btm</t>
    </r>
    <r>
      <rPr>
        <sz val="10.0"/>
      </rPr>
      <t xml:space="preserve">
3. Tall Rat XL Caging: add button to point to: https://www.innovive.com/tall-xl-rat-caging-btm
Match the details for each caiging configuration to this table: </t>
    </r>
    <r>
      <rPr>
        <color rgb="FF1155CC"/>
        <sz val="10.0"/>
        <u/>
      </rPr>
      <t>https://app.screencast.com/vo4g0N2NSmOzf.</t>
    </r>
    <r>
      <rPr>
        <sz val="10.0"/>
      </rPr>
      <t xml:space="preserve"> 
Keep featuers for all three from the original pages. </t>
    </r>
  </si>
  <si>
    <t>Fixed. Removed all the unnecessary white-space.</t>
  </si>
  <si>
    <t>https://inno.myvoladolabs.com/document-lookup/</t>
  </si>
  <si>
    <t>Resources</t>
  </si>
  <si>
    <t>https://inno.myvoladolabs.com/how-it-works/</t>
  </si>
  <si>
    <t>Innovive System</t>
  </si>
  <si>
    <r>
      <rPr/>
      <t xml:space="preserve">Visually inconsistent with other pages
</t>
    </r>
    <r>
      <rPr>
        <b/>
        <color rgb="FF880E4F"/>
      </rPr>
      <t>06/16</t>
    </r>
    <r>
      <rPr/>
      <t xml:space="preserve">
</t>
    </r>
    <r>
      <rPr>
        <color rgb="FF1155CC"/>
        <u/>
      </rPr>
      <t>https://app.screencast.com/bx8Iqn6CZYTtZ</t>
    </r>
  </si>
  <si>
    <t>Page is updated now</t>
  </si>
  <si>
    <t>https://inno.myvoladolabs.com/faq/</t>
  </si>
  <si>
    <r>
      <rPr/>
      <t xml:space="preserve">Questions are cut off </t>
    </r>
    <r>
      <rPr>
        <color rgb="FF1155CC"/>
        <u/>
      </rPr>
      <t xml:space="preserve">https://app.screencast.com/1WOmoHYnRprOt
</t>
    </r>
    <r>
      <rPr>
        <b/>
        <color rgb="FF880E4F"/>
      </rPr>
      <t>06/15</t>
    </r>
    <r>
      <rPr/>
      <t xml:space="preserve"> 
Too many varying colors: </t>
    </r>
    <r>
      <rPr>
        <color rgb="FF1155CC"/>
        <u/>
      </rPr>
      <t>https://app.screencast.com/oq317Uhvh4uY5</t>
    </r>
  </si>
  <si>
    <t>https://inno.myvoladolabs.com/patents/</t>
  </si>
  <si>
    <t>https://inno.myvoladolabs.com/events/</t>
  </si>
  <si>
    <r>
      <rPr/>
      <t xml:space="preserve">Too many varying colors, suggest using two: </t>
    </r>
    <r>
      <rPr>
        <color rgb="FF1155CC"/>
        <u/>
      </rPr>
      <t>https://app.screencast.com/QEszwTNtHb9cr</t>
    </r>
  </si>
  <si>
    <t>https://inno.myvoladolabs.com/case-studies/</t>
  </si>
  <si>
    <t>https://inno.myvoladolabs.com/job-application/</t>
  </si>
  <si>
    <t>Careers</t>
  </si>
  <si>
    <t>https://inno.myvoladolabs.com/profile-detail/</t>
  </si>
  <si>
    <t>https://inno.myvoladolabs.com/sustainability/</t>
  </si>
  <si>
    <t>https://inno.myvoladolabs.com/innovive-water-process/</t>
  </si>
  <si>
    <t>Suggest keeping this page unpublsihed when go live. The content is in progress</t>
  </si>
  <si>
    <t>For now, the page status in WP is "Pending Review"</t>
  </si>
  <si>
    <t>https://inno.myvoladolabs.com/system-benefits/</t>
  </si>
  <si>
    <t>https://inno.myvoladolabs.com/recycling-eu/</t>
  </si>
  <si>
    <t>Services</t>
  </si>
  <si>
    <t>https://inno.myvoladolabs.com/mouse-caging-m-btm-xl/</t>
  </si>
  <si>
    <r>
      <rPr>
        <rFont val="Arial"/>
        <b/>
        <color rgb="FF880E4F"/>
      </rPr>
      <t>6/16</t>
    </r>
    <r>
      <rPr>
        <rFont val="Arial"/>
        <color theme="1"/>
      </rPr>
      <t xml:space="preserve">
Include requierd caging component section: Mouse Xl bottom, RVX62 lid (rat lid), R-FEED-U + R-WBP, M-WB-850 (w/blue cap)
Center the table</t>
    </r>
  </si>
  <si>
    <t>Table is now horizontally centered. Added Caging components section at the bottom</t>
  </si>
  <si>
    <t>https://inno.myvoladolabs.com/mouse-transportation-cart/</t>
  </si>
  <si>
    <r>
      <rPr>
        <rFont val="Arial"/>
        <b/>
        <color rgb="FF880E4F"/>
      </rPr>
      <t>6/16</t>
    </r>
    <r>
      <rPr>
        <rFont val="Arial"/>
        <color theme="1"/>
      </rPr>
      <t xml:space="preserve">
How will cust navigate from this page? 
Suggest adding Mouse IVC Caging and Innorack IVC Mouse sections under specs</t>
    </r>
  </si>
  <si>
    <t>Added the section at the bottom to navigate to those pages.</t>
  </si>
  <si>
    <t>https://inno.myvoladolabs.com/mouse-rat-bedding/</t>
  </si>
  <si>
    <t>Mouse &amp; Rat</t>
  </si>
  <si>
    <r>
      <rPr/>
      <t xml:space="preserve">remove borders around images: </t>
    </r>
    <r>
      <rPr>
        <color rgb="FF1155CC"/>
        <u/>
      </rPr>
      <t xml:space="preserve">https://app.screencast.com/yPAXt80jjgHR6
</t>
    </r>
    <r>
      <rPr>
        <b/>
        <color rgb="FF880E4F"/>
      </rPr>
      <t>6/16</t>
    </r>
    <r>
      <rPr/>
      <t xml:space="preserve">
Suggest adding Mouse IVC Systeam and Rat IVC System sections under the table</t>
    </r>
  </si>
  <si>
    <t>Image border removed. Added the section at the bottom</t>
  </si>
  <si>
    <t>https://inno.myvoladolabs.com/rat-racks/</t>
  </si>
  <si>
    <r>
      <rPr>
        <rFont val="Arial"/>
        <b/>
        <color rgb="FF880E4F"/>
      </rPr>
      <t>6/16</t>
    </r>
    <r>
      <rPr>
        <rFont val="Arial"/>
        <color theme="1"/>
      </rPr>
      <t xml:space="preserve">
LInk each tab to individual page</t>
    </r>
  </si>
  <si>
    <t>https://inno.myvoladolabs.com/innorack-rat/</t>
  </si>
  <si>
    <r>
      <rPr>
        <b/>
        <color rgb="FF880E4F"/>
      </rPr>
      <t>6/16</t>
    </r>
    <r>
      <rPr/>
      <t xml:space="preserve">
Use Rat Rack image: </t>
    </r>
    <r>
      <rPr>
        <color rgb="FF1155CC"/>
        <u/>
      </rPr>
      <t>https://www.innovive.com/innorack-rat</t>
    </r>
    <r>
      <rPr/>
      <t xml:space="preserve"> (currently Mouse rack shown)</t>
    </r>
  </si>
  <si>
    <t>Replaced the image</t>
  </si>
  <si>
    <t>https://inno.myvoladolabs.com/metabolic-cage-kit/</t>
  </si>
  <si>
    <r>
      <rPr/>
      <t xml:space="preserve">
</t>
    </r>
    <r>
      <rPr>
        <b/>
        <color rgb="FF880E4F"/>
      </rPr>
      <t>06/15</t>
    </r>
    <r>
      <rPr/>
      <t xml:space="preserve"> - remove this section: </t>
    </r>
    <r>
      <rPr>
        <color rgb="FF1155CC"/>
        <u/>
      </rPr>
      <t>https://app.screencast.com/GZxhAsFLUsLj0</t>
    </r>
  </si>
  <si>
    <t>Removed the bottom section</t>
  </si>
  <si>
    <t>STATUS OVERVIEW</t>
  </si>
  <si>
    <t xml:space="preserve">Count </t>
  </si>
  <si>
    <t xml:space="preserve">% of Total </t>
  </si>
  <si>
    <t xml:space="preserve">Minor </t>
  </si>
  <si>
    <t xml:space="preserve">Open </t>
  </si>
  <si>
    <t xml:space="preserve">In progress </t>
  </si>
  <si>
    <t xml:space="preserve">Resolved </t>
  </si>
  <si>
    <t>Deferred</t>
  </si>
  <si>
    <t xml:space="preserve">TOTAL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</si>
</sst>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
    <numFmt numFmtId="165" formatCode="m/d"/>
  </numFmts>
  <fonts count="24">
    <font>
      <sz val="10.0"/>
      <color rgb="FF000000"/>
      <name val="Arial"/>
      <scheme val="minor"/>
    </font>
    <font>
      <b/>
      <color rgb="FFFFFFFF"/>
      <name val="Funnel Display"/>
    </font>
    <font>
      <b/>
      <color theme="1"/>
      <name val="Arial"/>
      <scheme val="minor"/>
    </font>
    <font>
      <color theme="1"/>
      <name val="Arial"/>
      <scheme val="minor"/>
    </font>
    <font>
      <u/>
      <color rgb="FF000000"/>
    </font>
    <font>
      <u/>
      <color rgb="FF0000FF"/>
    </font>
    <font>
      <color rgb="FFCC0000"/>
      <name val="Arial"/>
      <scheme val="minor"/>
    </font>
    <font>
      <u/>
      <color theme="1"/>
      <name val="Arial"/>
      <scheme val="minor"/>
    </font>
    <font>
      <u/>
      <color rgb="FF222222"/>
      <name val="Arial"/>
    </font>
    <font>
      <u/>
      <color rgb="FF0000FF"/>
    </font>
    <font>
      <b/>
      <color rgb="FF000000"/>
      <name val="'Helvetica Neue'"/>
    </font>
    <font>
      <u/>
      <color rgb="FF0000FF"/>
      <name val="Arial"/>
    </font>
    <font>
      <u/>
      <color rgb="FF0000FF"/>
    </font>
    <font>
      <u/>
      <color rgb="FF000000"/>
    </font>
    <font>
      <color rgb="FF1F1F1F"/>
    </font>
    <font>
      <u/>
      <sz val="10.0"/>
      <color rgb="FF0000FF"/>
    </font>
    <font>
      <u/>
      <color rgb="FF0000FF"/>
    </font>
    <font>
      <b/>
      <color rgb="FFFFFFFF"/>
      <name val="Arial"/>
      <scheme val="minor"/>
    </font>
    <font>
      <color rgb="FFC62828"/>
      <name val="Arial"/>
      <scheme val="minor"/>
    </font>
    <font>
      <color rgb="FFE65100"/>
      <name val="Arial"/>
      <scheme val="minor"/>
    </font>
    <font>
      <color rgb="FFF9A825"/>
      <name val="Arial"/>
      <scheme val="minor"/>
    </font>
    <font>
      <color rgb="FF880E4F"/>
      <name val="Arial"/>
      <scheme val="minor"/>
    </font>
    <font>
      <color rgb="FF1B5E20"/>
      <name val="Arial"/>
      <scheme val="minor"/>
    </font>
    <font>
      <color rgb="FF455A64"/>
      <name val="Arial"/>
      <scheme val="minor"/>
    </font>
  </fonts>
  <fills count="10">
    <fill>
      <patternFill patternType="none"/>
    </fill>
    <fill>
      <patternFill patternType="lightGray"/>
    </fill>
    <fill>
      <patternFill patternType="solid">
        <fgColor rgb="FF6FA8DC"/>
        <bgColor rgb="FF6FA8DC"/>
      </patternFill>
    </fill>
    <fill>
      <patternFill patternType="solid">
        <fgColor rgb="FFB6D7A8"/>
        <bgColor rgb="FFB6D7A8"/>
      </patternFill>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
      <patternFill patternType="solid">
        <fgColor rgb="FFFFFFFF"/>
        <bgColor rgb="FFFFFFFF"/>
      </patternFill>
    </fill>
    <fill>
      <patternFill patternType="solid">
        <fgColor rgb="FF3D85C6"/>
        <bgColor rgb="FF3D85C6"/>
      </patternFill>
    </fill>
    <fill>
      <patternFill patternType="solid">
        <fgColor rgb="FFCFE2F3"/>
        <bgColor rgb="FFCFE2F3"/>
      </patternFill>
    </fill>
  </fills>
  <borders count="2">
    <border/>
    <border>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2" numFmtId="0" xfId="0" applyAlignment="1" applyFill="1" applyFont="1">
      <alignment readingOrder="0" shrinkToFit="0" wrapText="1"/>
    </xf>
    <xf borderId="0" fillId="4" fontId="2" numFmtId="164" xfId="0" applyAlignment="1" applyFont="1" applyNumberFormat="1">
      <alignment readingOrder="0" shrinkToFit="0" wrapText="1"/>
    </xf>
    <xf borderId="0" fillId="4" fontId="2" numFmtId="0" xfId="0" applyAlignment="1" applyFont="1">
      <alignment shrinkToFit="0" wrapText="1"/>
    </xf>
    <xf borderId="0" fillId="4" fontId="3" numFmtId="0" xfId="0" applyAlignment="1" applyFont="1">
      <alignment readingOrder="0" shrinkToFit="0" wrapText="1"/>
    </xf>
    <xf borderId="0" fillId="4" fontId="3" numFmtId="0" xfId="0" applyAlignment="1" applyFont="1">
      <alignment readingOrder="0"/>
    </xf>
    <xf borderId="0" fillId="5" fontId="4" numFmtId="0" xfId="0" applyAlignment="1" applyFill="1" applyFont="1">
      <alignment readingOrder="0"/>
    </xf>
    <xf borderId="0" fillId="0" fontId="3" numFmtId="164" xfId="0" applyAlignment="1" applyFont="1" applyNumberFormat="1">
      <alignmen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6" fontId="3" numFmtId="0" xfId="0" applyAlignment="1" applyFill="1" applyFont="1">
      <alignment readingOrder="0" shrinkToFit="0" wrapText="1"/>
    </xf>
    <xf borderId="0" fillId="7" fontId="3" numFmtId="0" xfId="0" applyAlignment="1" applyFill="1" applyFont="1">
      <alignment readingOrder="0" shrinkToFit="0" wrapText="1"/>
    </xf>
    <xf borderId="1" fillId="0" fontId="3" numFmtId="164" xfId="0" applyAlignment="1" applyBorder="1" applyFont="1" applyNumberFormat="1">
      <alignment readingOrder="0"/>
    </xf>
    <xf borderId="1" fillId="0" fontId="3" numFmtId="0" xfId="0" applyBorder="1" applyFont="1"/>
    <xf borderId="1" fillId="0" fontId="3" numFmtId="0" xfId="0" applyAlignment="1" applyBorder="1" applyFont="1">
      <alignment readingOrder="0"/>
    </xf>
    <xf borderId="1" fillId="0" fontId="3" numFmtId="0" xfId="0" applyAlignment="1" applyBorder="1" applyFont="1">
      <alignment readingOrder="0" shrinkToFit="0" wrapText="1"/>
    </xf>
    <xf borderId="0" fillId="0" fontId="3" numFmtId="165" xfId="0" applyAlignment="1" applyFont="1" applyNumberFormat="1">
      <alignment readingOrder="0"/>
    </xf>
    <xf borderId="0" fillId="0" fontId="3" numFmtId="0" xfId="0" applyAlignment="1" applyFont="1">
      <alignment shrinkToFit="0" wrapText="1"/>
    </xf>
    <xf borderId="1" fillId="0" fontId="3" numFmtId="0" xfId="0" applyAlignment="1" applyBorder="1" applyFont="1">
      <alignment readingOrder="0" shrinkToFit="0" wrapText="1"/>
    </xf>
    <xf borderId="0" fillId="0" fontId="5" numFmtId="0" xfId="0" applyAlignment="1" applyFont="1">
      <alignment readingOrder="0"/>
    </xf>
    <xf borderId="0" fillId="0" fontId="6" numFmtId="0" xfId="0" applyAlignment="1" applyFont="1">
      <alignment readingOrder="0" shrinkToFit="0" wrapText="1"/>
    </xf>
    <xf borderId="0" fillId="0" fontId="7" numFmtId="0" xfId="0" applyAlignment="1" applyFont="1">
      <alignment readingOrder="0" shrinkToFit="0" wrapText="1"/>
    </xf>
    <xf borderId="0" fillId="7"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7" fontId="11" numFmtId="0" xfId="0" applyAlignment="1" applyFont="1">
      <alignment readingOrder="0"/>
    </xf>
    <xf borderId="0" fillId="0" fontId="12" numFmtId="0" xfId="0" applyAlignment="1" applyFont="1">
      <alignment readingOrder="0" shrinkToFit="0" wrapText="1"/>
    </xf>
    <xf borderId="0" fillId="7" fontId="13" numFmtId="0" xfId="0" applyAlignment="1" applyFont="1">
      <alignment readingOrder="0"/>
    </xf>
    <xf borderId="0" fillId="0" fontId="14" numFmtId="0" xfId="0" applyAlignment="1" applyFont="1">
      <alignment readingOrder="0" shrinkToFit="0" wrapText="1"/>
    </xf>
    <xf borderId="0" fillId="0" fontId="15" numFmtId="0" xfId="0" applyAlignment="1" applyFont="1">
      <alignment readingOrder="0" shrinkToFit="0" wrapText="1"/>
    </xf>
    <xf borderId="0" fillId="0" fontId="3" numFmtId="0" xfId="0" applyAlignment="1" applyFont="1">
      <alignment readingOrder="0"/>
    </xf>
    <xf borderId="0" fillId="0" fontId="3" numFmtId="0" xfId="0" applyAlignment="1" applyFont="1">
      <alignment horizontal="left" readingOrder="0"/>
    </xf>
    <xf borderId="0" fillId="0" fontId="16" numFmtId="0" xfId="0" applyAlignment="1" applyFont="1">
      <alignment horizontal="left" readingOrder="0"/>
    </xf>
    <xf borderId="0" fillId="8" fontId="17" numFmtId="0" xfId="0" applyAlignment="1" applyFill="1" applyFont="1">
      <alignment readingOrder="0"/>
    </xf>
    <xf borderId="0" fillId="8" fontId="17" numFmtId="0" xfId="0" applyFont="1"/>
    <xf borderId="0" fillId="9" fontId="2" numFmtId="0" xfId="0" applyAlignment="1" applyFill="1" applyFont="1">
      <alignment horizontal="center" readingOrder="0"/>
    </xf>
    <xf borderId="0" fillId="0" fontId="18" numFmtId="0" xfId="0" applyAlignment="1" applyFont="1">
      <alignment horizontal="center" readingOrder="0"/>
    </xf>
    <xf borderId="0" fillId="0" fontId="3" numFmtId="0" xfId="0" applyAlignment="1" applyFont="1">
      <alignment horizontal="center"/>
    </xf>
    <xf borderId="0" fillId="0" fontId="3" numFmtId="9" xfId="0" applyAlignment="1" applyFont="1" applyNumberFormat="1">
      <alignment horizontal="center"/>
    </xf>
    <xf borderId="0" fillId="0" fontId="19" numFmtId="0" xfId="0" applyAlignment="1" applyFont="1">
      <alignment horizontal="center" readingOrder="0"/>
    </xf>
    <xf borderId="0" fillId="0" fontId="20" numFmtId="0" xfId="0" applyAlignment="1" applyFont="1">
      <alignment horizontal="center" readingOrder="0"/>
    </xf>
    <xf borderId="0" fillId="0" fontId="21" numFmtId="0" xfId="0" applyAlignment="1" applyFont="1">
      <alignment horizontal="center"/>
    </xf>
    <xf borderId="0" fillId="0" fontId="22" numFmtId="0" xfId="0" applyAlignment="1" applyFont="1">
      <alignment horizontal="center" readingOrder="0"/>
    </xf>
    <xf borderId="0" fillId="0" fontId="23" numFmtId="0" xfId="0" applyAlignment="1" applyFont="1">
      <alignment horizontal="center" readingOrder="0"/>
    </xf>
    <xf borderId="0" fillId="9" fontId="2" numFmtId="0" xfId="0" applyAlignment="1" applyFont="1">
      <alignment horizontal="right" readingOrder="0"/>
    </xf>
    <xf borderId="0" fillId="9" fontId="2" numFmtId="0" xfId="0" applyAlignment="1" applyFont="1">
      <alignment horizontal="center"/>
    </xf>
    <xf borderId="0" fillId="9"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nno.myvoladolabs.com/research-ready/" TargetMode="External"/><Relationship Id="rId42" Type="http://schemas.openxmlformats.org/officeDocument/2006/relationships/hyperlink" Target="https://inno.myvoladolabs.com/privacy-policy/" TargetMode="External"/><Relationship Id="rId41" Type="http://schemas.openxmlformats.org/officeDocument/2006/relationships/hyperlink" Target="https://www.dropbox.com/scl/fi/izlhbfdlobua9itusvgqp/956A7314.jpg?rlkey=15ab5exctdp0npkkcos5l8kz7&amp;st=am7lugwr&amp;dl=0" TargetMode="External"/><Relationship Id="rId44" Type="http://schemas.openxmlformats.org/officeDocument/2006/relationships/hyperlink" Target="https://inno.myvoladolabs.com/ca-supply-chain/" TargetMode="External"/><Relationship Id="rId43" Type="http://schemas.openxmlformats.org/officeDocument/2006/relationships/hyperlink" Target="https://inno.myvoladolabs.com/terms-and-conditions/" TargetMode="External"/><Relationship Id="rId46" Type="http://schemas.openxmlformats.org/officeDocument/2006/relationships/hyperlink" Target="https://app.screencast.com/KJxWTfapFMoIc" TargetMode="External"/><Relationship Id="rId45" Type="http://schemas.openxmlformats.org/officeDocument/2006/relationships/hyperlink" Target="https://inno.myvoladolabs.com/mouse-feeders/" TargetMode="External"/><Relationship Id="rId1" Type="http://schemas.openxmlformats.org/officeDocument/2006/relationships/hyperlink" Target="https://inno.myvoladolabs.com/" TargetMode="External"/><Relationship Id="rId2" Type="http://schemas.openxmlformats.org/officeDocument/2006/relationships/hyperlink" Target="https://inno.myvoladolabs.com/team/" TargetMode="External"/><Relationship Id="rId3" Type="http://schemas.openxmlformats.org/officeDocument/2006/relationships/hyperlink" Target="https://inno.myvoladolabs.com/gnotobiotics/" TargetMode="External"/><Relationship Id="rId4" Type="http://schemas.openxmlformats.org/officeDocument/2006/relationships/hyperlink" Target="https://inno.myvoladolabs.com/products/enrichment/" TargetMode="External"/><Relationship Id="rId9" Type="http://schemas.openxmlformats.org/officeDocument/2006/relationships/hyperlink" Target="https://inno.myvoladolabs.com/innotube/" TargetMode="External"/><Relationship Id="rId48" Type="http://schemas.openxmlformats.org/officeDocument/2006/relationships/hyperlink" Target="https://app.screencast.com/5wkIMgqHW9Dz8" TargetMode="External"/><Relationship Id="rId47" Type="http://schemas.openxmlformats.org/officeDocument/2006/relationships/hyperlink" Target="https://inno.myvoladolabs.com/tall-rat-xl/" TargetMode="External"/><Relationship Id="rId49" Type="http://schemas.openxmlformats.org/officeDocument/2006/relationships/hyperlink" Target="https://inno.myvoladolabs.com/rat-caging/" TargetMode="External"/><Relationship Id="rId5" Type="http://schemas.openxmlformats.org/officeDocument/2006/relationships/hyperlink" Target="https://inno.myvoladolabs.com/m-climb/" TargetMode="External"/><Relationship Id="rId6" Type="http://schemas.openxmlformats.org/officeDocument/2006/relationships/hyperlink" Target="mailto:vzimmerman@innovive.com" TargetMode="External"/><Relationship Id="rId7" Type="http://schemas.openxmlformats.org/officeDocument/2006/relationships/hyperlink" Target="https://inno.myvoladolabs.com/m-divider2/" TargetMode="External"/><Relationship Id="rId8" Type="http://schemas.openxmlformats.org/officeDocument/2006/relationships/hyperlink" Target="https://inno.myvoladolabs.com/innodome-innowheel/" TargetMode="External"/><Relationship Id="rId73" Type="http://schemas.openxmlformats.org/officeDocument/2006/relationships/hyperlink" Target="https://inno.myvoladolabs.com/metabolic-cage-kit/" TargetMode="External"/><Relationship Id="rId72" Type="http://schemas.openxmlformats.org/officeDocument/2006/relationships/hyperlink" Target="https://www.innovive.com/innorack-rat" TargetMode="External"/><Relationship Id="rId31" Type="http://schemas.openxmlformats.org/officeDocument/2006/relationships/hyperlink" Target="https://www.innovive.com/aquavive-mouse-water" TargetMode="External"/><Relationship Id="rId75" Type="http://schemas.openxmlformats.org/officeDocument/2006/relationships/drawing" Target="../drawings/drawing1.xml"/><Relationship Id="rId30" Type="http://schemas.openxmlformats.org/officeDocument/2006/relationships/hyperlink" Target="https://inno.myvoladolabs.com/aquavive-mouse-water/" TargetMode="External"/><Relationship Id="rId74" Type="http://schemas.openxmlformats.org/officeDocument/2006/relationships/hyperlink" Target="https://app.screencast.com/GZxhAsFLUsLj0" TargetMode="External"/><Relationship Id="rId33" Type="http://schemas.openxmlformats.org/officeDocument/2006/relationships/hyperlink" Target="https://www.innovive.com/aquavive-rat-water" TargetMode="External"/><Relationship Id="rId32" Type="http://schemas.openxmlformats.org/officeDocument/2006/relationships/hyperlink" Target="https://inno.myvoladolabs.com/aquavive-rat-water/" TargetMode="External"/><Relationship Id="rId35" Type="http://schemas.openxmlformats.org/officeDocument/2006/relationships/hyperlink" Target="https://app.screencast.com/YyUkDlfm4WHmJ" TargetMode="External"/><Relationship Id="rId34" Type="http://schemas.openxmlformats.org/officeDocument/2006/relationships/hyperlink" Target="https://inno.myvoladolabs.com/innorack-mouse/" TargetMode="External"/><Relationship Id="rId71" Type="http://schemas.openxmlformats.org/officeDocument/2006/relationships/hyperlink" Target="https://inno.myvoladolabs.com/innorack-rat/" TargetMode="External"/><Relationship Id="rId70" Type="http://schemas.openxmlformats.org/officeDocument/2006/relationships/hyperlink" Target="https://inno.myvoladolabs.com/rat-racks/" TargetMode="External"/><Relationship Id="rId37" Type="http://schemas.openxmlformats.org/officeDocument/2006/relationships/hyperlink" Target="mailto:rgaffney@innovive.com" TargetMode="External"/><Relationship Id="rId36" Type="http://schemas.openxmlformats.org/officeDocument/2006/relationships/hyperlink" Target="https://inno.myvoladolabs.com/products/" TargetMode="External"/><Relationship Id="rId39" Type="http://schemas.openxmlformats.org/officeDocument/2006/relationships/hyperlink" Target="https://inno.myvoladolabs.com/contact/" TargetMode="External"/><Relationship Id="rId38" Type="http://schemas.openxmlformats.org/officeDocument/2006/relationships/hyperlink" Target="https://inno.myvoladolabs.com/about/" TargetMode="External"/><Relationship Id="rId62" Type="http://schemas.openxmlformats.org/officeDocument/2006/relationships/hyperlink" Target="https://inno.myvoladolabs.com/sustainability/" TargetMode="External"/><Relationship Id="rId61" Type="http://schemas.openxmlformats.org/officeDocument/2006/relationships/hyperlink" Target="https://inno.myvoladolabs.com/profile-detail/" TargetMode="External"/><Relationship Id="rId20" Type="http://schemas.openxmlformats.org/officeDocument/2006/relationships/hyperlink" Target="https://docs.google.com/document/d/1mxV3mzm05w9KmFZvythpBvHCyVij0Pt6sAzgdUQejBA/edit?usp=sharing" TargetMode="External"/><Relationship Id="rId64" Type="http://schemas.openxmlformats.org/officeDocument/2006/relationships/hyperlink" Target="https://inno.myvoladolabs.com/system-benefits/" TargetMode="External"/><Relationship Id="rId63" Type="http://schemas.openxmlformats.org/officeDocument/2006/relationships/hyperlink" Target="https://inno.myvoladolabs.com/innovive-water-process/" TargetMode="External"/><Relationship Id="rId22" Type="http://schemas.openxmlformats.org/officeDocument/2006/relationships/hyperlink" Target="https://inno.myvoladolabs.com/mouse-lid/" TargetMode="External"/><Relationship Id="rId66" Type="http://schemas.openxmlformats.org/officeDocument/2006/relationships/hyperlink" Target="https://inno.myvoladolabs.com/mouse-caging-m-btm-xl/" TargetMode="External"/><Relationship Id="rId21" Type="http://schemas.openxmlformats.org/officeDocument/2006/relationships/hyperlink" Target="https://app.screencast.com/OwRaF54bVa7J2" TargetMode="External"/><Relationship Id="rId65" Type="http://schemas.openxmlformats.org/officeDocument/2006/relationships/hyperlink" Target="https://inno.myvoladolabs.com/recycling-eu/" TargetMode="External"/><Relationship Id="rId24" Type="http://schemas.openxmlformats.org/officeDocument/2006/relationships/hyperlink" Target="mailto:rgaffney@innovive.com" TargetMode="External"/><Relationship Id="rId68" Type="http://schemas.openxmlformats.org/officeDocument/2006/relationships/hyperlink" Target="https://inno.myvoladolabs.com/mouse-rat-bedding/" TargetMode="External"/><Relationship Id="rId23" Type="http://schemas.openxmlformats.org/officeDocument/2006/relationships/hyperlink" Target="https://docs.google.com/document/d/1P6yXrRiUOyPqsL99JCo0tKYbxTyvoX3_IjcwYyxsl0Y/edit?usp=sharing" TargetMode="External"/><Relationship Id="rId67" Type="http://schemas.openxmlformats.org/officeDocument/2006/relationships/hyperlink" Target="https://inno.myvoladolabs.com/mouse-transportation-cart/" TargetMode="External"/><Relationship Id="rId60" Type="http://schemas.openxmlformats.org/officeDocument/2006/relationships/hyperlink" Target="https://inno.myvoladolabs.com/job-application/" TargetMode="External"/><Relationship Id="rId26" Type="http://schemas.openxmlformats.org/officeDocument/2006/relationships/hyperlink" Target="https://inno.myvoladolabs.com/mouse-rack/" TargetMode="External"/><Relationship Id="rId25" Type="http://schemas.openxmlformats.org/officeDocument/2006/relationships/hyperlink" Target="https://inno.myvoladolabs.com/mouse-lids/" TargetMode="External"/><Relationship Id="rId69" Type="http://schemas.openxmlformats.org/officeDocument/2006/relationships/hyperlink" Target="https://app.screencast.com/yPAXt80jjgHR6" TargetMode="External"/><Relationship Id="rId28" Type="http://schemas.openxmlformats.org/officeDocument/2006/relationships/hyperlink" Target="https://app.screencast.com/MvqLQ2veMmJ0q" TargetMode="External"/><Relationship Id="rId27" Type="http://schemas.openxmlformats.org/officeDocument/2006/relationships/hyperlink" Target="https://docs.google.com/document/d/1O06TD-GwpBPFafXKGNZSp4x9_HM3yaPYJ0zykEpPmXM/edit?usp=sharing" TargetMode="External"/><Relationship Id="rId29" Type="http://schemas.openxmlformats.org/officeDocument/2006/relationships/hyperlink" Target="https://inno.myvoladolabs.com/innorack-mouse/" TargetMode="External"/><Relationship Id="rId51" Type="http://schemas.openxmlformats.org/officeDocument/2006/relationships/hyperlink" Target="https://inno.myvoladolabs.com/document-lookup/" TargetMode="External"/><Relationship Id="rId50" Type="http://schemas.openxmlformats.org/officeDocument/2006/relationships/hyperlink" Target="https://www.innovive.com/rat-caging-btm" TargetMode="External"/><Relationship Id="rId53" Type="http://schemas.openxmlformats.org/officeDocument/2006/relationships/hyperlink" Target="https://app.screencast.com/bx8Iqn6CZYTtZ" TargetMode="External"/><Relationship Id="rId52" Type="http://schemas.openxmlformats.org/officeDocument/2006/relationships/hyperlink" Target="https://inno.myvoladolabs.com/how-it-works/" TargetMode="External"/><Relationship Id="rId11" Type="http://schemas.openxmlformats.org/officeDocument/2006/relationships/hyperlink" Target="https://inno.myvoladolabs.com/products/enrichment/crd-hld-h-3/" TargetMode="External"/><Relationship Id="rId55" Type="http://schemas.openxmlformats.org/officeDocument/2006/relationships/hyperlink" Target="https://app.screencast.com/1WOmoHYnRprOt" TargetMode="External"/><Relationship Id="rId10" Type="http://schemas.openxmlformats.org/officeDocument/2006/relationships/hyperlink" Target="https://inno.myvoladolabs.com/m-innorichment/" TargetMode="External"/><Relationship Id="rId54" Type="http://schemas.openxmlformats.org/officeDocument/2006/relationships/hyperlink" Target="https://inno.myvoladolabs.com/faq/" TargetMode="External"/><Relationship Id="rId13" Type="http://schemas.openxmlformats.org/officeDocument/2006/relationships/hyperlink" Target="https://docs.google.com/document/d/1EkvmTs_gp1Dm12e0u8mZ_zFHgTnygBAdP0WhgbsC4ks/edit?usp=sharing" TargetMode="External"/><Relationship Id="rId57" Type="http://schemas.openxmlformats.org/officeDocument/2006/relationships/hyperlink" Target="https://inno.myvoladolabs.com/events/" TargetMode="External"/><Relationship Id="rId12" Type="http://schemas.openxmlformats.org/officeDocument/2006/relationships/hyperlink" Target="https://inno.myvoladolabs.com/rat-feeders/" TargetMode="External"/><Relationship Id="rId56" Type="http://schemas.openxmlformats.org/officeDocument/2006/relationships/hyperlink" Target="https://inno.myvoladolabs.com/patents/" TargetMode="External"/><Relationship Id="rId15" Type="http://schemas.openxmlformats.org/officeDocument/2006/relationships/hyperlink" Target="https://inno.myvoladolabs.com/r-loft-t/" TargetMode="External"/><Relationship Id="rId59" Type="http://schemas.openxmlformats.org/officeDocument/2006/relationships/hyperlink" Target="https://inno.myvoladolabs.com/case-studies/" TargetMode="External"/><Relationship Id="rId14" Type="http://schemas.openxmlformats.org/officeDocument/2006/relationships/hyperlink" Target="https://inno.myvoladolabs.com/r-innorichment/" TargetMode="External"/><Relationship Id="rId58" Type="http://schemas.openxmlformats.org/officeDocument/2006/relationships/hyperlink" Target="https://app.screencast.com/QEszwTNtHb9cr" TargetMode="External"/><Relationship Id="rId17" Type="http://schemas.openxmlformats.org/officeDocument/2006/relationships/hyperlink" Target="https://docs.google.com/document/d/1vae5Bcoh2ZSLM63TLlPnGB-32LzEG139DRzKHkJuuKM/edit?usp=sharing" TargetMode="External"/><Relationship Id="rId16" Type="http://schemas.openxmlformats.org/officeDocument/2006/relationships/hyperlink" Target="https://inno.myvoladolabs.com/rat-lid/" TargetMode="External"/><Relationship Id="rId19" Type="http://schemas.openxmlformats.org/officeDocument/2006/relationships/hyperlink" Target="https://inno.myvoladolabs.com/tall-rat-01/" TargetMode="External"/><Relationship Id="rId18" Type="http://schemas.openxmlformats.org/officeDocument/2006/relationships/hyperlink" Target="https://inno.myvoladolabs.com/inn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5"/>
    <col customWidth="1" min="2" max="2" width="10.0"/>
    <col customWidth="1" min="3" max="3" width="16.5"/>
    <col customWidth="1" min="4" max="4" width="15.5"/>
    <col customWidth="1" min="5" max="5" width="72.38"/>
    <col customWidth="1" min="8" max="8" width="83.75"/>
  </cols>
  <sheetData>
    <row r="3">
      <c r="A3" s="1" t="s">
        <v>0</v>
      </c>
      <c r="B3" s="1" t="s">
        <v>1</v>
      </c>
      <c r="C3" s="1" t="s">
        <v>2</v>
      </c>
      <c r="D3" s="1" t="s">
        <v>3</v>
      </c>
      <c r="E3" s="2" t="s">
        <v>4</v>
      </c>
      <c r="F3" s="1" t="s">
        <v>5</v>
      </c>
      <c r="G3" s="1" t="s">
        <v>6</v>
      </c>
      <c r="H3" s="1" t="s">
        <v>7</v>
      </c>
    </row>
    <row r="4">
      <c r="A4" s="3" t="s">
        <v>8</v>
      </c>
      <c r="B4" s="4"/>
      <c r="C4" s="5"/>
      <c r="D4" s="3"/>
      <c r="E4" s="6" t="s">
        <v>9</v>
      </c>
      <c r="F4" s="7" t="s">
        <v>10</v>
      </c>
      <c r="G4" s="5"/>
      <c r="I4" s="5"/>
      <c r="J4" s="5"/>
      <c r="K4" s="5"/>
      <c r="L4" s="5"/>
      <c r="M4" s="5"/>
      <c r="N4" s="5"/>
      <c r="O4" s="5"/>
      <c r="P4" s="5"/>
      <c r="Q4" s="5"/>
      <c r="R4" s="5"/>
      <c r="S4" s="5"/>
      <c r="T4" s="5"/>
      <c r="U4" s="5"/>
      <c r="V4" s="5"/>
      <c r="W4" s="5"/>
      <c r="X4" s="5"/>
      <c r="Y4" s="5"/>
      <c r="Z4" s="5"/>
    </row>
    <row r="5">
      <c r="A5" s="8" t="s">
        <v>11</v>
      </c>
      <c r="B5" s="9">
        <v>46176.0</v>
      </c>
      <c r="D5" s="10" t="s">
        <v>12</v>
      </c>
      <c r="E5" s="11" t="s">
        <v>13</v>
      </c>
      <c r="F5" s="10" t="s">
        <v>14</v>
      </c>
      <c r="G5" s="10" t="s">
        <v>15</v>
      </c>
    </row>
    <row r="6">
      <c r="E6" s="11" t="s">
        <v>16</v>
      </c>
      <c r="F6" s="10" t="s">
        <v>10</v>
      </c>
      <c r="G6" s="12"/>
      <c r="H6" s="10" t="s">
        <v>17</v>
      </c>
    </row>
    <row r="7">
      <c r="E7" s="11" t="s">
        <v>18</v>
      </c>
      <c r="F7" s="10" t="s">
        <v>10</v>
      </c>
      <c r="G7" s="12"/>
    </row>
    <row r="8">
      <c r="E8" s="11" t="s">
        <v>19</v>
      </c>
      <c r="F8" s="10" t="s">
        <v>10</v>
      </c>
      <c r="G8" s="12"/>
    </row>
    <row r="9">
      <c r="E9" s="13" t="s">
        <v>20</v>
      </c>
      <c r="F9" s="10" t="s">
        <v>14</v>
      </c>
      <c r="G9" s="10" t="s">
        <v>15</v>
      </c>
      <c r="H9" s="14" t="s">
        <v>21</v>
      </c>
    </row>
    <row r="10">
      <c r="A10" s="8" t="s">
        <v>22</v>
      </c>
      <c r="B10" s="15">
        <v>46176.0</v>
      </c>
      <c r="C10" s="16"/>
      <c r="D10" s="17" t="s">
        <v>23</v>
      </c>
      <c r="E10" s="18" t="s">
        <v>24</v>
      </c>
      <c r="F10" s="17" t="s">
        <v>10</v>
      </c>
      <c r="G10" s="16"/>
      <c r="H10" s="16"/>
      <c r="I10" s="16"/>
      <c r="J10" s="16"/>
      <c r="K10" s="16"/>
      <c r="L10" s="16"/>
      <c r="M10" s="16"/>
      <c r="N10" s="16"/>
      <c r="O10" s="16"/>
      <c r="P10" s="16"/>
      <c r="Q10" s="16"/>
      <c r="R10" s="16"/>
      <c r="S10" s="16"/>
      <c r="T10" s="16"/>
      <c r="U10" s="16"/>
      <c r="V10" s="16"/>
      <c r="W10" s="16"/>
      <c r="X10" s="16"/>
      <c r="Y10" s="16"/>
      <c r="Z10" s="16"/>
    </row>
    <row r="11">
      <c r="A11" s="10"/>
      <c r="B11" s="19"/>
      <c r="D11" s="10"/>
      <c r="E11" s="20"/>
      <c r="F11" s="10"/>
      <c r="G11" s="12"/>
    </row>
    <row r="12">
      <c r="A12" s="8" t="s">
        <v>25</v>
      </c>
      <c r="B12" s="15">
        <v>46176.0</v>
      </c>
      <c r="C12" s="16"/>
      <c r="D12" s="17" t="s">
        <v>26</v>
      </c>
      <c r="E12" s="21" t="s">
        <v>27</v>
      </c>
      <c r="F12" s="17" t="s">
        <v>28</v>
      </c>
      <c r="G12" s="17" t="s">
        <v>29</v>
      </c>
      <c r="H12" s="16"/>
      <c r="I12" s="16"/>
      <c r="J12" s="16"/>
      <c r="K12" s="16"/>
      <c r="L12" s="16"/>
      <c r="M12" s="16"/>
      <c r="N12" s="16"/>
      <c r="O12" s="16"/>
      <c r="P12" s="16"/>
      <c r="Q12" s="16"/>
      <c r="R12" s="16"/>
      <c r="S12" s="16"/>
      <c r="T12" s="16"/>
      <c r="U12" s="16"/>
      <c r="V12" s="16"/>
      <c r="W12" s="16"/>
      <c r="X12" s="16"/>
      <c r="Y12" s="16"/>
      <c r="Z12" s="16"/>
    </row>
    <row r="13">
      <c r="A13" s="10"/>
      <c r="B13" s="19"/>
      <c r="D13" s="10"/>
      <c r="E13" s="11" t="s">
        <v>30</v>
      </c>
      <c r="F13" s="10"/>
      <c r="G13" s="12"/>
    </row>
    <row r="14">
      <c r="A14" s="10"/>
      <c r="B14" s="19"/>
      <c r="D14" s="10"/>
      <c r="E14" s="20"/>
      <c r="F14" s="10"/>
      <c r="G14" s="12"/>
    </row>
    <row r="15">
      <c r="A15" s="22" t="s">
        <v>31</v>
      </c>
      <c r="B15" s="9">
        <v>46176.0</v>
      </c>
      <c r="D15" s="10" t="s">
        <v>32</v>
      </c>
      <c r="E15" s="23" t="s">
        <v>33</v>
      </c>
      <c r="F15" s="10" t="s">
        <v>10</v>
      </c>
      <c r="G15" s="10" t="s">
        <v>15</v>
      </c>
      <c r="H15" s="10" t="s">
        <v>34</v>
      </c>
    </row>
    <row r="16">
      <c r="E16" s="20"/>
      <c r="F16" s="12"/>
      <c r="G16" s="12"/>
    </row>
    <row r="17">
      <c r="A17" s="22" t="s">
        <v>35</v>
      </c>
      <c r="B17" s="9">
        <v>46176.0</v>
      </c>
      <c r="D17" s="10" t="s">
        <v>36</v>
      </c>
      <c r="E17" s="24" t="s">
        <v>37</v>
      </c>
      <c r="F17" s="10" t="s">
        <v>28</v>
      </c>
      <c r="G17" s="10" t="s">
        <v>38</v>
      </c>
    </row>
    <row r="18">
      <c r="A18" s="25" t="s">
        <v>39</v>
      </c>
      <c r="B18" s="9">
        <v>46176.0</v>
      </c>
      <c r="D18" s="10" t="s">
        <v>36</v>
      </c>
      <c r="E18" s="11" t="s">
        <v>40</v>
      </c>
      <c r="F18" s="10" t="s">
        <v>28</v>
      </c>
      <c r="G18" s="10" t="s">
        <v>38</v>
      </c>
    </row>
    <row r="19">
      <c r="A19" s="25" t="s">
        <v>41</v>
      </c>
      <c r="B19" s="9">
        <v>46176.0</v>
      </c>
      <c r="D19" s="10" t="s">
        <v>36</v>
      </c>
      <c r="E19" s="11" t="s">
        <v>42</v>
      </c>
      <c r="F19" s="10" t="s">
        <v>28</v>
      </c>
      <c r="G19" s="10" t="s">
        <v>38</v>
      </c>
    </row>
    <row r="20">
      <c r="A20" s="25" t="s">
        <v>43</v>
      </c>
      <c r="B20" s="9">
        <v>46176.0</v>
      </c>
      <c r="D20" s="10" t="s">
        <v>36</v>
      </c>
      <c r="E20" s="11" t="s">
        <v>40</v>
      </c>
      <c r="F20" s="10" t="s">
        <v>28</v>
      </c>
      <c r="G20" s="10" t="s">
        <v>38</v>
      </c>
    </row>
    <row r="21">
      <c r="A21" s="25" t="s">
        <v>44</v>
      </c>
      <c r="B21" s="9">
        <v>46176.0</v>
      </c>
      <c r="D21" s="10" t="s">
        <v>36</v>
      </c>
      <c r="E21" s="11" t="s">
        <v>40</v>
      </c>
      <c r="F21" s="10" t="s">
        <v>28</v>
      </c>
      <c r="G21" s="10" t="s">
        <v>38</v>
      </c>
    </row>
    <row r="22">
      <c r="A22" s="25" t="s">
        <v>45</v>
      </c>
      <c r="B22" s="9">
        <v>46176.0</v>
      </c>
      <c r="E22" s="11" t="s">
        <v>40</v>
      </c>
      <c r="F22" s="10" t="s">
        <v>10</v>
      </c>
      <c r="G22" s="10" t="s">
        <v>38</v>
      </c>
    </row>
    <row r="23">
      <c r="A23" s="26" t="s">
        <v>46</v>
      </c>
      <c r="B23" s="9">
        <v>46176.0</v>
      </c>
      <c r="C23" s="26" t="s">
        <v>47</v>
      </c>
      <c r="D23" s="10" t="s">
        <v>48</v>
      </c>
      <c r="E23" s="11" t="s">
        <v>49</v>
      </c>
      <c r="F23" s="10" t="s">
        <v>10</v>
      </c>
      <c r="G23" s="10" t="s">
        <v>15</v>
      </c>
      <c r="H23" s="27" t="s">
        <v>50</v>
      </c>
    </row>
    <row r="24">
      <c r="A24" s="28" t="s">
        <v>51</v>
      </c>
      <c r="B24" s="9">
        <v>46176.0</v>
      </c>
      <c r="D24" s="10" t="s">
        <v>48</v>
      </c>
      <c r="E24" s="11" t="s">
        <v>52</v>
      </c>
      <c r="F24" s="10" t="s">
        <v>28</v>
      </c>
      <c r="G24" s="10" t="s">
        <v>38</v>
      </c>
    </row>
    <row r="25">
      <c r="A25" s="25" t="s">
        <v>53</v>
      </c>
      <c r="B25" s="9">
        <v>46176.0</v>
      </c>
      <c r="D25" s="10" t="s">
        <v>48</v>
      </c>
      <c r="E25" s="11" t="s">
        <v>40</v>
      </c>
      <c r="F25" s="10" t="s">
        <v>28</v>
      </c>
      <c r="G25" s="10" t="s">
        <v>38</v>
      </c>
    </row>
    <row r="26">
      <c r="A26" s="26" t="s">
        <v>54</v>
      </c>
      <c r="B26" s="9">
        <v>46177.0</v>
      </c>
      <c r="C26" s="26" t="s">
        <v>55</v>
      </c>
      <c r="D26" s="10" t="s">
        <v>48</v>
      </c>
      <c r="E26" s="11" t="s">
        <v>56</v>
      </c>
      <c r="F26" s="10" t="s">
        <v>10</v>
      </c>
      <c r="G26" s="10" t="s">
        <v>15</v>
      </c>
      <c r="H26" s="10" t="s">
        <v>57</v>
      </c>
    </row>
    <row r="27">
      <c r="E27" s="20"/>
      <c r="F27" s="12"/>
      <c r="G27" s="12"/>
    </row>
    <row r="28">
      <c r="A28" s="8" t="s">
        <v>58</v>
      </c>
      <c r="B28" s="9">
        <v>46177.0</v>
      </c>
      <c r="D28" s="10" t="s">
        <v>59</v>
      </c>
      <c r="E28" s="11" t="s">
        <v>60</v>
      </c>
      <c r="F28" s="10" t="s">
        <v>10</v>
      </c>
      <c r="G28" s="12"/>
      <c r="H28" s="10" t="s">
        <v>61</v>
      </c>
    </row>
    <row r="29">
      <c r="E29" s="20"/>
      <c r="F29" s="12"/>
      <c r="G29" s="12"/>
    </row>
    <row r="30">
      <c r="A30" s="22" t="s">
        <v>62</v>
      </c>
      <c r="B30" s="9">
        <v>46177.0</v>
      </c>
      <c r="C30" s="26" t="s">
        <v>63</v>
      </c>
      <c r="D30" s="10" t="s">
        <v>48</v>
      </c>
      <c r="E30" s="29" t="s">
        <v>64</v>
      </c>
      <c r="F30" s="10" t="s">
        <v>10</v>
      </c>
      <c r="G30" s="10" t="s">
        <v>65</v>
      </c>
    </row>
    <row r="31">
      <c r="A31" s="22" t="s">
        <v>66</v>
      </c>
      <c r="B31" s="9">
        <v>46181.0</v>
      </c>
      <c r="C31" s="22" t="s">
        <v>67</v>
      </c>
      <c r="D31" s="10" t="s">
        <v>36</v>
      </c>
      <c r="E31" s="29" t="s">
        <v>68</v>
      </c>
      <c r="F31" s="10" t="s">
        <v>10</v>
      </c>
      <c r="G31" s="10" t="s">
        <v>15</v>
      </c>
      <c r="H31" s="22" t="s">
        <v>69</v>
      </c>
    </row>
    <row r="32">
      <c r="A32" s="26" t="s">
        <v>70</v>
      </c>
      <c r="B32" s="9">
        <v>46181.0</v>
      </c>
      <c r="C32" s="26" t="s">
        <v>71</v>
      </c>
      <c r="D32" s="10" t="s">
        <v>36</v>
      </c>
      <c r="E32" s="29" t="s">
        <v>72</v>
      </c>
      <c r="F32" s="10" t="s">
        <v>10</v>
      </c>
      <c r="G32" s="10" t="s">
        <v>65</v>
      </c>
      <c r="H32" s="22" t="s">
        <v>73</v>
      </c>
    </row>
    <row r="33">
      <c r="A33" s="25" t="s">
        <v>74</v>
      </c>
      <c r="B33" s="9">
        <v>46181.0</v>
      </c>
      <c r="D33" s="10" t="s">
        <v>36</v>
      </c>
      <c r="E33" s="29" t="s">
        <v>75</v>
      </c>
      <c r="F33" s="10" t="s">
        <v>10</v>
      </c>
      <c r="G33" s="10" t="s">
        <v>65</v>
      </c>
      <c r="H33" s="10" t="s">
        <v>76</v>
      </c>
    </row>
    <row r="34">
      <c r="A34" s="26" t="s">
        <v>77</v>
      </c>
      <c r="B34" s="9">
        <v>46181.0</v>
      </c>
      <c r="D34" s="10" t="s">
        <v>48</v>
      </c>
      <c r="E34" s="29" t="s">
        <v>78</v>
      </c>
      <c r="F34" s="10" t="s">
        <v>10</v>
      </c>
      <c r="G34" s="10" t="s">
        <v>65</v>
      </c>
      <c r="H34" s="10" t="s">
        <v>76</v>
      </c>
    </row>
    <row r="35">
      <c r="A35" s="26" t="s">
        <v>79</v>
      </c>
      <c r="B35" s="19">
        <v>46183.0</v>
      </c>
      <c r="D35" s="10" t="s">
        <v>36</v>
      </c>
      <c r="E35" s="22" t="s">
        <v>80</v>
      </c>
      <c r="F35" s="10" t="s">
        <v>10</v>
      </c>
      <c r="G35" s="10" t="s">
        <v>15</v>
      </c>
      <c r="H35" s="10" t="s">
        <v>81</v>
      </c>
    </row>
    <row r="36">
      <c r="A36" s="30" t="s">
        <v>82</v>
      </c>
      <c r="B36" s="19">
        <v>46183.0</v>
      </c>
      <c r="D36" s="10" t="s">
        <v>83</v>
      </c>
      <c r="E36" s="24" t="s">
        <v>84</v>
      </c>
      <c r="F36" s="10" t="s">
        <v>28</v>
      </c>
      <c r="G36" s="10" t="s">
        <v>65</v>
      </c>
    </row>
    <row r="37">
      <c r="A37" s="8" t="s">
        <v>85</v>
      </c>
      <c r="B37" s="19">
        <v>46184.0</v>
      </c>
      <c r="D37" s="10" t="s">
        <v>86</v>
      </c>
      <c r="F37" s="10" t="s">
        <v>28</v>
      </c>
      <c r="G37" s="12"/>
    </row>
    <row r="38">
      <c r="A38" s="8" t="s">
        <v>87</v>
      </c>
      <c r="B38" s="19">
        <v>46184.0</v>
      </c>
      <c r="D38" s="10" t="s">
        <v>88</v>
      </c>
      <c r="F38" s="10" t="s">
        <v>28</v>
      </c>
      <c r="G38" s="12"/>
    </row>
    <row r="39">
      <c r="A39" s="26" t="s">
        <v>89</v>
      </c>
      <c r="B39" s="19">
        <v>46184.0</v>
      </c>
      <c r="D39" s="10" t="s">
        <v>90</v>
      </c>
      <c r="E39" s="22" t="s">
        <v>91</v>
      </c>
      <c r="F39" s="10" t="s">
        <v>10</v>
      </c>
      <c r="G39" s="10" t="s">
        <v>65</v>
      </c>
      <c r="H39" s="10" t="s">
        <v>92</v>
      </c>
    </row>
    <row r="40">
      <c r="A40" s="22" t="s">
        <v>93</v>
      </c>
      <c r="B40" s="19">
        <v>46184.0</v>
      </c>
      <c r="D40" s="10" t="s">
        <v>94</v>
      </c>
      <c r="F40" s="10" t="s">
        <v>28</v>
      </c>
      <c r="G40" s="12"/>
    </row>
    <row r="41">
      <c r="A41" s="22" t="s">
        <v>95</v>
      </c>
      <c r="B41" s="19">
        <v>46184.0</v>
      </c>
      <c r="D41" s="10" t="s">
        <v>96</v>
      </c>
      <c r="F41" s="10" t="s">
        <v>28</v>
      </c>
      <c r="G41" s="12"/>
    </row>
    <row r="42">
      <c r="A42" s="26" t="s">
        <v>97</v>
      </c>
      <c r="B42" s="19">
        <v>46184.0</v>
      </c>
      <c r="D42" s="10" t="s">
        <v>98</v>
      </c>
      <c r="F42" s="10" t="s">
        <v>28</v>
      </c>
      <c r="G42" s="12"/>
    </row>
    <row r="43">
      <c r="A43" s="26" t="s">
        <v>99</v>
      </c>
      <c r="B43" s="19">
        <v>46184.0</v>
      </c>
      <c r="D43" s="10" t="s">
        <v>36</v>
      </c>
      <c r="E43" s="31" t="s">
        <v>100</v>
      </c>
      <c r="F43" s="10" t="s">
        <v>10</v>
      </c>
      <c r="G43" s="10" t="s">
        <v>65</v>
      </c>
      <c r="H43" s="10" t="s">
        <v>101</v>
      </c>
    </row>
    <row r="44">
      <c r="A44" s="26" t="s">
        <v>102</v>
      </c>
      <c r="B44" s="19">
        <v>46184.0</v>
      </c>
      <c r="D44" s="10" t="s">
        <v>48</v>
      </c>
      <c r="E44" s="22" t="s">
        <v>103</v>
      </c>
      <c r="F44" s="10" t="s">
        <v>10</v>
      </c>
      <c r="G44" s="10" t="s">
        <v>65</v>
      </c>
      <c r="H44" s="10" t="s">
        <v>104</v>
      </c>
    </row>
    <row r="45" ht="124.5" customHeight="1">
      <c r="A45" s="26" t="s">
        <v>105</v>
      </c>
      <c r="B45" s="19">
        <v>46184.0</v>
      </c>
      <c r="D45" s="10" t="s">
        <v>48</v>
      </c>
      <c r="E45" s="32" t="s">
        <v>106</v>
      </c>
      <c r="F45" s="10" t="s">
        <v>14</v>
      </c>
      <c r="G45" s="10" t="s">
        <v>15</v>
      </c>
      <c r="H45" s="10" t="s">
        <v>107</v>
      </c>
    </row>
    <row r="46">
      <c r="A46" s="26" t="s">
        <v>108</v>
      </c>
      <c r="B46" s="19">
        <v>46184.0</v>
      </c>
      <c r="D46" s="10" t="s">
        <v>109</v>
      </c>
      <c r="F46" s="10" t="s">
        <v>28</v>
      </c>
      <c r="G46" s="12"/>
    </row>
    <row r="47">
      <c r="A47" s="26" t="s">
        <v>110</v>
      </c>
      <c r="B47" s="19">
        <v>46185.0</v>
      </c>
      <c r="D47" s="10" t="s">
        <v>111</v>
      </c>
      <c r="E47" s="22" t="s">
        <v>112</v>
      </c>
      <c r="F47" s="10" t="s">
        <v>10</v>
      </c>
      <c r="G47" s="10" t="s">
        <v>15</v>
      </c>
      <c r="H47" s="10" t="s">
        <v>113</v>
      </c>
    </row>
    <row r="48">
      <c r="A48" s="26" t="s">
        <v>114</v>
      </c>
      <c r="B48" s="19">
        <v>46185.0</v>
      </c>
      <c r="D48" s="10" t="s">
        <v>109</v>
      </c>
      <c r="E48" s="22" t="s">
        <v>115</v>
      </c>
      <c r="F48" s="10" t="s">
        <v>10</v>
      </c>
      <c r="G48" s="10" t="s">
        <v>65</v>
      </c>
      <c r="H48" s="10" t="s">
        <v>113</v>
      </c>
    </row>
    <row r="49">
      <c r="A49" s="26" t="s">
        <v>116</v>
      </c>
      <c r="B49" s="19">
        <v>46185.0</v>
      </c>
      <c r="D49" s="10" t="s">
        <v>109</v>
      </c>
      <c r="F49" s="10" t="s">
        <v>28</v>
      </c>
      <c r="G49" s="12"/>
    </row>
    <row r="50">
      <c r="A50" s="22" t="s">
        <v>117</v>
      </c>
      <c r="B50" s="19">
        <v>46185.0</v>
      </c>
      <c r="D50" s="10" t="s">
        <v>109</v>
      </c>
      <c r="E50" s="22" t="s">
        <v>118</v>
      </c>
      <c r="F50" s="10" t="s">
        <v>10</v>
      </c>
      <c r="G50" s="10" t="s">
        <v>65</v>
      </c>
      <c r="H50" s="10" t="s">
        <v>113</v>
      </c>
    </row>
    <row r="51">
      <c r="A51" s="26" t="s">
        <v>119</v>
      </c>
      <c r="B51" s="19">
        <v>46185.0</v>
      </c>
      <c r="D51" s="10" t="s">
        <v>109</v>
      </c>
      <c r="F51" s="10" t="s">
        <v>28</v>
      </c>
      <c r="G51" s="12"/>
    </row>
    <row r="52">
      <c r="A52" s="26" t="s">
        <v>120</v>
      </c>
      <c r="B52" s="19">
        <v>46185.0</v>
      </c>
      <c r="D52" s="10" t="s">
        <v>121</v>
      </c>
      <c r="F52" s="10" t="s">
        <v>28</v>
      </c>
      <c r="G52" s="12"/>
    </row>
    <row r="53">
      <c r="A53" s="26" t="s">
        <v>122</v>
      </c>
      <c r="B53" s="19">
        <v>46185.0</v>
      </c>
      <c r="D53" s="10" t="s">
        <v>23</v>
      </c>
      <c r="F53" s="10" t="s">
        <v>28</v>
      </c>
      <c r="G53" s="12"/>
    </row>
    <row r="54">
      <c r="A54" s="26" t="s">
        <v>123</v>
      </c>
      <c r="B54" s="19">
        <v>46185.0</v>
      </c>
      <c r="D54" s="10" t="s">
        <v>86</v>
      </c>
      <c r="F54" s="10" t="s">
        <v>28</v>
      </c>
      <c r="G54" s="10" t="s">
        <v>15</v>
      </c>
    </row>
    <row r="55">
      <c r="A55" s="26" t="s">
        <v>124</v>
      </c>
      <c r="B55" s="19">
        <v>46185.0</v>
      </c>
      <c r="D55" s="10" t="s">
        <v>111</v>
      </c>
      <c r="E55" s="10" t="s">
        <v>125</v>
      </c>
      <c r="F55" s="10" t="s">
        <v>10</v>
      </c>
      <c r="G55" s="10"/>
      <c r="H55" s="10" t="s">
        <v>126</v>
      </c>
    </row>
    <row r="56">
      <c r="A56" s="26" t="s">
        <v>127</v>
      </c>
      <c r="B56" s="19">
        <v>46185.0</v>
      </c>
      <c r="D56" s="10" t="s">
        <v>111</v>
      </c>
      <c r="F56" s="10" t="s">
        <v>10</v>
      </c>
      <c r="G56" s="10"/>
    </row>
    <row r="57">
      <c r="A57" s="26" t="s">
        <v>128</v>
      </c>
      <c r="B57" s="19">
        <v>46185.0</v>
      </c>
      <c r="D57" s="10" t="s">
        <v>129</v>
      </c>
      <c r="F57" s="10" t="s">
        <v>10</v>
      </c>
      <c r="G57" s="10"/>
    </row>
    <row r="58">
      <c r="A58" s="26" t="s">
        <v>130</v>
      </c>
      <c r="B58" s="19">
        <v>46185.0</v>
      </c>
      <c r="D58" s="10" t="s">
        <v>36</v>
      </c>
      <c r="E58" s="11" t="s">
        <v>131</v>
      </c>
      <c r="F58" s="10" t="s">
        <v>10</v>
      </c>
      <c r="G58" s="10" t="s">
        <v>15</v>
      </c>
      <c r="H58" s="10" t="s">
        <v>132</v>
      </c>
    </row>
    <row r="59">
      <c r="A59" s="26" t="s">
        <v>133</v>
      </c>
      <c r="B59" s="19">
        <v>46185.0</v>
      </c>
      <c r="D59" s="10" t="s">
        <v>36</v>
      </c>
      <c r="E59" s="10" t="s">
        <v>134</v>
      </c>
      <c r="F59" s="10" t="s">
        <v>10</v>
      </c>
      <c r="G59" s="10" t="s">
        <v>15</v>
      </c>
      <c r="H59" s="33" t="s">
        <v>135</v>
      </c>
    </row>
    <row r="60">
      <c r="A60" s="26" t="s">
        <v>136</v>
      </c>
      <c r="B60" s="19">
        <v>46185.0</v>
      </c>
      <c r="D60" s="10" t="s">
        <v>137</v>
      </c>
      <c r="E60" s="22" t="s">
        <v>138</v>
      </c>
      <c r="F60" s="10" t="s">
        <v>10</v>
      </c>
      <c r="G60" s="10" t="s">
        <v>15</v>
      </c>
      <c r="H60" s="10" t="s">
        <v>139</v>
      </c>
    </row>
    <row r="61">
      <c r="A61" s="26" t="s">
        <v>140</v>
      </c>
      <c r="B61" s="19">
        <v>46185.0</v>
      </c>
      <c r="D61" s="10" t="s">
        <v>48</v>
      </c>
      <c r="E61" s="34" t="s">
        <v>141</v>
      </c>
      <c r="F61" s="10" t="s">
        <v>14</v>
      </c>
      <c r="G61" s="10" t="s">
        <v>65</v>
      </c>
    </row>
    <row r="62">
      <c r="A62" s="26" t="s">
        <v>142</v>
      </c>
      <c r="B62" s="19">
        <v>46185.0</v>
      </c>
      <c r="D62" s="10" t="s">
        <v>48</v>
      </c>
      <c r="E62" s="35" t="s">
        <v>143</v>
      </c>
      <c r="F62" s="10" t="s">
        <v>10</v>
      </c>
      <c r="G62" s="10" t="s">
        <v>15</v>
      </c>
      <c r="H62" s="10" t="s">
        <v>144</v>
      </c>
    </row>
    <row r="63">
      <c r="A63" s="26" t="s">
        <v>145</v>
      </c>
      <c r="B63" s="19">
        <v>46185.0</v>
      </c>
      <c r="D63" s="10" t="s">
        <v>36</v>
      </c>
      <c r="E63" s="22" t="s">
        <v>146</v>
      </c>
      <c r="F63" s="10" t="s">
        <v>10</v>
      </c>
      <c r="G63" s="10" t="s">
        <v>65</v>
      </c>
      <c r="H63" s="10" t="s">
        <v>147</v>
      </c>
    </row>
  </sheetData>
  <dataValidations>
    <dataValidation type="list" allowBlank="1" showErrorMessage="1" sqref="F4:F63">
      <formula1>"Open,In progress,In review,Resolved,Deffered"</formula1>
    </dataValidation>
    <dataValidation type="list" allowBlank="1" showErrorMessage="1" sqref="G5:G63">
      <formula1>"Critical,Minor,Polish,Question"</formula1>
    </dataValidation>
  </dataValidations>
  <hyperlinks>
    <hyperlink r:id="rId1" ref="A5"/>
    <hyperlink r:id="rId2" ref="A10"/>
    <hyperlink r:id="rId3" ref="A12"/>
    <hyperlink r:id="rId4" ref="A15"/>
    <hyperlink r:id="rId5" ref="A17"/>
    <hyperlink r:id="rId6" ref="E17"/>
    <hyperlink r:id="rId7" ref="A18"/>
    <hyperlink r:id="rId8" ref="A19"/>
    <hyperlink r:id="rId9" ref="A20"/>
    <hyperlink r:id="rId10" ref="A21"/>
    <hyperlink r:id="rId11" ref="A22"/>
    <hyperlink r:id="rId12" ref="A23"/>
    <hyperlink r:id="rId13" ref="C23"/>
    <hyperlink r:id="rId14" ref="A24"/>
    <hyperlink r:id="rId15" ref="A25"/>
    <hyperlink r:id="rId16" ref="A26"/>
    <hyperlink r:id="rId17" ref="C26"/>
    <hyperlink r:id="rId18" ref="A28"/>
    <hyperlink r:id="rId19" ref="A30"/>
    <hyperlink r:id="rId20" ref="C30"/>
    <hyperlink r:id="rId21" ref="E30"/>
    <hyperlink r:id="rId22" ref="A31"/>
    <hyperlink r:id="rId23" ref="C31"/>
    <hyperlink r:id="rId24" ref="E31"/>
    <hyperlink r:id="rId25" ref="H31"/>
    <hyperlink r:id="rId26" ref="A32"/>
    <hyperlink r:id="rId27" ref="C32"/>
    <hyperlink r:id="rId28" ref="E32"/>
    <hyperlink r:id="rId29" ref="H32"/>
    <hyperlink r:id="rId30" ref="A33"/>
    <hyperlink r:id="rId31" ref="E33"/>
    <hyperlink r:id="rId32" ref="A34"/>
    <hyperlink r:id="rId33" ref="E34"/>
    <hyperlink r:id="rId34" ref="A35"/>
    <hyperlink r:id="rId35" ref="E35"/>
    <hyperlink r:id="rId36" ref="A36"/>
    <hyperlink r:id="rId37" ref="E36"/>
    <hyperlink r:id="rId38" ref="A37"/>
    <hyperlink r:id="rId39" ref="A38"/>
    <hyperlink r:id="rId40" ref="A39"/>
    <hyperlink r:id="rId41" ref="E39"/>
    <hyperlink r:id="rId42" ref="A40"/>
    <hyperlink r:id="rId43" ref="A41"/>
    <hyperlink r:id="rId44" ref="A42"/>
    <hyperlink r:id="rId45" ref="A43"/>
    <hyperlink r:id="rId46" ref="E43"/>
    <hyperlink r:id="rId47" ref="A44"/>
    <hyperlink r:id="rId48" ref="E44"/>
    <hyperlink r:id="rId49" ref="A45"/>
    <hyperlink r:id="rId50" ref="E45"/>
    <hyperlink r:id="rId51" ref="A46"/>
    <hyperlink r:id="rId52" ref="A47"/>
    <hyperlink r:id="rId53" ref="E47"/>
    <hyperlink r:id="rId54" ref="A48"/>
    <hyperlink r:id="rId55" ref="E48"/>
    <hyperlink r:id="rId56" ref="A49"/>
    <hyperlink r:id="rId57" ref="A50"/>
    <hyperlink r:id="rId58" ref="E50"/>
    <hyperlink r:id="rId59" ref="A51"/>
    <hyperlink r:id="rId60" ref="A52"/>
    <hyperlink r:id="rId61" ref="A53"/>
    <hyperlink r:id="rId62" ref="A54"/>
    <hyperlink r:id="rId63" ref="A55"/>
    <hyperlink r:id="rId64" ref="A56"/>
    <hyperlink r:id="rId65" ref="A57"/>
    <hyperlink r:id="rId66" ref="A58"/>
    <hyperlink r:id="rId67" ref="A59"/>
    <hyperlink r:id="rId68" ref="A60"/>
    <hyperlink r:id="rId69" ref="E60"/>
    <hyperlink r:id="rId70" ref="A61"/>
    <hyperlink r:id="rId71" ref="A62"/>
    <hyperlink r:id="rId72" ref="E62"/>
    <hyperlink r:id="rId73" ref="A63"/>
    <hyperlink r:id="rId74" ref="E63"/>
  </hyperlinks>
  <drawing r:id="rId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36" t="s">
        <v>148</v>
      </c>
      <c r="B3" s="37"/>
      <c r="C3" s="37"/>
      <c r="D3" s="37"/>
      <c r="E3" s="37"/>
      <c r="F3" s="37"/>
    </row>
    <row r="4">
      <c r="A4" s="38" t="s">
        <v>5</v>
      </c>
      <c r="B4" s="38" t="s">
        <v>149</v>
      </c>
      <c r="C4" s="38" t="s">
        <v>150</v>
      </c>
      <c r="D4" s="38" t="s">
        <v>15</v>
      </c>
      <c r="E4" s="38" t="s">
        <v>151</v>
      </c>
      <c r="F4" s="38" t="s">
        <v>29</v>
      </c>
    </row>
    <row r="5">
      <c r="A5" s="39" t="s">
        <v>152</v>
      </c>
      <c r="B5" s="40">
        <f>COUNTIF(Tracker!F5:F204,"Open")</f>
        <v>4</v>
      </c>
      <c r="C5" s="41">
        <f>B5/B10</f>
        <v>0.08333333333</v>
      </c>
      <c r="D5" s="40">
        <f>COUNTIFS(Tracker!F5:F204,"Open",Tracker!G5:G204,"Critical")</f>
        <v>3</v>
      </c>
      <c r="E5" s="40"/>
      <c r="F5" s="40"/>
    </row>
    <row r="6">
      <c r="A6" s="42" t="s">
        <v>153</v>
      </c>
      <c r="B6" s="40">
        <f>COUNTIF(Tracker!F7:F205,"In progress")</f>
        <v>0</v>
      </c>
      <c r="C6" s="41">
        <f>B6/B10</f>
        <v>0</v>
      </c>
      <c r="D6" s="40">
        <f>COUNTIFS(Tracker!F7:F205,"In progress",Tracker!G7:G205,"Critical")</f>
        <v>0</v>
      </c>
      <c r="E6" s="40"/>
      <c r="F6" s="40"/>
    </row>
    <row r="7">
      <c r="A7" s="43" t="s">
        <v>28</v>
      </c>
      <c r="B7" s="40">
        <f>COUNTIF(Tracker!F10:F206,"In review")</f>
        <v>20</v>
      </c>
      <c r="C7" s="41">
        <f>B7/B10</f>
        <v>0.4166666667</v>
      </c>
      <c r="D7" s="44">
        <f>COUNTIFS(Tracker!F10:F206,"In review",Tracker!G10:G206,"Critical")</f>
        <v>1</v>
      </c>
      <c r="E7" s="40"/>
      <c r="F7" s="40"/>
    </row>
    <row r="8">
      <c r="A8" s="45" t="s">
        <v>154</v>
      </c>
      <c r="B8" s="40">
        <f>COUNTIF(Tracker!F43:F207,"Open")</f>
        <v>2</v>
      </c>
      <c r="C8" s="41">
        <f>B8/B10</f>
        <v>0.04166666667</v>
      </c>
      <c r="D8" s="40">
        <f>COUNTIFS(Tracker!F11:F207,"Resolved",Tracker!G11:G207,"Critical")</f>
        <v>10</v>
      </c>
      <c r="E8" s="40"/>
      <c r="F8" s="40"/>
    </row>
    <row r="9">
      <c r="A9" s="46" t="s">
        <v>155</v>
      </c>
      <c r="B9" s="40">
        <f>COUNTIF(Tracker!F44:F208,"Open")</f>
        <v>2</v>
      </c>
      <c r="C9" s="41">
        <f>B9/B10</f>
        <v>0.04166666667</v>
      </c>
      <c r="D9" s="40">
        <f>COUNTIFS(Tracker!F12:F208,"Deferred",Tracker!G12:G208,"Critical")</f>
        <v>0</v>
      </c>
      <c r="E9" s="40"/>
      <c r="F9" s="40"/>
    </row>
    <row r="10">
      <c r="A10" s="47" t="s">
        <v>156</v>
      </c>
      <c r="B10" s="48">
        <f>COUNTA(Tracker!D5:D204)</f>
        <v>48</v>
      </c>
      <c r="C10" s="49"/>
      <c r="D10" s="49"/>
      <c r="E10" s="49"/>
      <c r="F10" s="49"/>
    </row>
  </sheetData>
  <drawing r:id="rId1"/>
</worksheet>
</file>